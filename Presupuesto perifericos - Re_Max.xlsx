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<sst xmlns="http://schemas.openxmlformats.org/spreadsheetml/2006/main" count="137" uniqueCount="105">
  <si>
    <t>Categoría</t>
  </si>
  <si>
    <t>Elemento</t>
  </si>
  <si>
    <t>Modelo / Descripción</t>
  </si>
  <si>
    <t>Unidad</t>
  </si>
  <si>
    <t>Precio Unitario ($)</t>
  </si>
  <si>
    <t>Cantidad Calculada</t>
  </si>
  <si>
    <t>Subtotal ($)</t>
  </si>
  <si>
    <t>Observaciones / Fuente</t>
  </si>
  <si>
    <t>I. INFRAESTRUCTURA DE RED CORE</t>
  </si>
  <si>
    <t>Router Principal</t>
  </si>
  <si>
    <t>Cisco</t>
  </si>
  <si>
    <t>ISR 4321</t>
  </si>
  <si>
    <t>Precio estimado (usado) Mercado Libre Argentina.</t>
  </si>
  <si>
    <t>Switch Principal</t>
  </si>
  <si>
    <t>Catalyst 2960 (24P o similar)</t>
  </si>
  <si>
    <t>Servidor</t>
  </si>
  <si>
    <t>Dell</t>
  </si>
  <si>
    <t>PowerEdge (Torre)</t>
  </si>
  <si>
    <t>Precio estimado (usado/entry-level) Mercado Libre Argentina.</t>
  </si>
  <si>
    <t>UPS Principal</t>
  </si>
  <si>
    <t>Protección Core</t>
  </si>
  <si>
    <t>1500VA (Rack/Torre)</t>
  </si>
  <si>
    <t>Precio estimado Mercado Libre (Para equipos principales).</t>
  </si>
  <si>
    <t>II. DISPOSITIVOS DE RED Y ACCESO</t>
  </si>
  <si>
    <t>Switch (Local)</t>
  </si>
  <si>
    <t>TP-Link</t>
  </si>
  <si>
    <t>TL-SG1024D (24 puertos Gigabit)</t>
  </si>
  <si>
    <t>Precio provisto.</t>
  </si>
  <si>
    <t>Puntos Acceso Wi-Fi</t>
  </si>
  <si>
    <t>Empresarial</t>
  </si>
  <si>
    <t>Genérico para Cobertura</t>
  </si>
  <si>
    <t>Estimación: 4580 m2 de espacio total / 150 m2 de cobertura por AP. Precio ML.</t>
  </si>
  <si>
    <t>Hub</t>
  </si>
  <si>
    <t>Redundancia/Conexión</t>
  </si>
  <si>
    <t>Si se requiere</t>
  </si>
  <si>
    <t>III. TELEFONÍA</t>
  </si>
  <si>
    <t>Teléfonos IP (VoIP)</t>
  </si>
  <si>
    <t>X3SW</t>
  </si>
  <si>
    <t>1 por cada PC</t>
  </si>
  <si>
    <t>Cantidad: Total de PCs (996). Precio provisto.</t>
  </si>
  <si>
    <t>IV. SEGURIDAD</t>
  </si>
  <si>
    <t>Cámaras IP</t>
  </si>
  <si>
    <t>Para zonas sensibles</t>
  </si>
  <si>
    <t>3 por salón</t>
  </si>
  <si>
    <t>Cantidad: 3 por 21 Salones/Habitaciones. Precio provisto.</t>
  </si>
  <si>
    <t>V. PERIFÉRICOS DE OFICINA</t>
  </si>
  <si>
    <t>Impresora de Red</t>
  </si>
  <si>
    <t>I5590</t>
  </si>
  <si>
    <t>Impresoras Totales</t>
  </si>
  <si>
    <t>Cantidad: Total de Impresoras (209). Precio provisto.</t>
  </si>
  <si>
    <t>Plotter</t>
  </si>
  <si>
    <t>8AG32D</t>
  </si>
  <si>
    <t>Ubicación Específica</t>
  </si>
  <si>
    <t>Cantidad: 1 en Sala 9, 13, y 18. Precio provisto.</t>
  </si>
  <si>
    <t>Proyector</t>
  </si>
  <si>
    <t>PROJ0060</t>
  </si>
  <si>
    <t>1 por Sala/Habitación</t>
  </si>
  <si>
    <t>Estimación: 1 por cada una de las 21 habitaciones. Precio ML.</t>
  </si>
  <si>
    <t>VI. RACKS Y ALMACENAMIENTO</t>
  </si>
  <si>
    <t>Rack de pie</t>
  </si>
  <si>
    <t>Powerfiber 19” – 22U</t>
  </si>
  <si>
    <t>Rack Principal</t>
  </si>
  <si>
    <t>Rack mural</t>
  </si>
  <si>
    <t>20U 80×60×60</t>
  </si>
  <si>
    <t>Rack Secundario (usado)</t>
  </si>
  <si>
    <t>Mini rack</t>
  </si>
  <si>
    <t>Distribución local</t>
  </si>
  <si>
    <t>Genérico</t>
  </si>
  <si>
    <t>VII. CABLEADO Y ACCESORIOS (Costos Globales)</t>
  </si>
  <si>
    <t>Cableado UTP</t>
  </si>
  <si>
    <t>Cat6</t>
  </si>
  <si>
    <t>Metros según plano</t>
  </si>
  <si>
    <t>Global</t>
  </si>
  <si>
    <t>Costo global provisto. Se debe ajustar al cálculo real.</t>
  </si>
  <si>
    <t>Conectores</t>
  </si>
  <si>
    <t>RJ45</t>
  </si>
  <si>
    <t>Costo global provisto.</t>
  </si>
  <si>
    <t>Rosetas de red</t>
  </si>
  <si>
    <t>Puntos de conexión</t>
  </si>
  <si>
    <t>Cable Canal</t>
  </si>
  <si>
    <t>Gestión de cable</t>
  </si>
  <si>
    <t>VIII. OTROS COSTOS PARCIALES</t>
  </si>
  <si>
    <t>Escritorio</t>
  </si>
  <si>
    <t>Parcial</t>
  </si>
  <si>
    <t>Ítem no de red</t>
  </si>
  <si>
    <t>Costo parcial provisto.</t>
  </si>
  <si>
    <t>IX. TOTALES</t>
  </si>
  <si>
    <t>TOTAL GENERAL</t>
  </si>
  <si>
    <t>$164.257.118,73</t>
  </si>
  <si>
    <t>Suma de la Columna G</t>
  </si>
  <si>
    <t>I. Diseño y Planificación</t>
  </si>
  <si>
    <t>Plano de cables/Cálculo de cables</t>
  </si>
  <si>
    <t>Definir la longitud exacta del cable UTP Cat6 que se necesita para reemplazar el costo global de $180.000.</t>
  </si>
  <si>
    <t>PENDIENTE CRÍTICO</t>
  </si>
  <si>
    <t>Sketch Home / Maqueta de edificio</t>
  </si>
  <si>
    <t>Diseño 3D y maqueta para definir ubicaciones exactas de equipos y recorridos de cableado.</t>
  </si>
  <si>
    <t>PENDIENTE</t>
  </si>
  <si>
    <t>II. Configuración de Red</t>
  </si>
  <si>
    <t>SUBNETEO</t>
  </si>
  <si>
    <t>Diseño de las subredes (redes lógicas) para las PCs, Teléfonos IP y Cámaras.</t>
  </si>
  <si>
    <t>CRÍTICO</t>
  </si>
  <si>
    <t>Simulación en Packet Tracer</t>
  </si>
  <si>
    <t>Prueba y validación del diseño de red y las configuraciones de los dispositivos (Router, Switch).</t>
  </si>
  <si>
    <t>Configuración en Ubuntu (virtualizado)</t>
  </si>
  <si>
    <t>Utilizar la plataforma virtualizada para la configuración de servicios de red (DHCP, DNS, etc.).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</si>
</sst>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AB91F5"/>
          <bgColor rgb="FFAB91F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AB91F5"/>
        </left>
        <right style="thin">
          <color rgb="FFAB91F5"/>
        </right>
        <top style="thin">
          <color rgb="FFAB91F5"/>
        </top>
        <bottom style="thin">
          <color rgb="FFAB91F5"/>
        </bottom>
      </border>
    </dxf>
    <dxf>
      <font/>
      <fill>
        <patternFill patternType="solid">
          <fgColor rgb="FFFF88EF"/>
          <bgColor rgb="FFFF88EF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1" displayName="Perifericos" name="Perifericos" id="1">
  <tableColumns count="8">
    <tableColumn name="Categoría" id="1"/>
    <tableColumn name="Elemento" id="2"/>
    <tableColumn name="Modelo / Descripción" id="3"/>
    <tableColumn name="Unidad" id="4"/>
    <tableColumn name="Precio Unitario ($)" id="5"/>
    <tableColumn name="Cantidad Calculada" id="6"/>
    <tableColumn name="Subtotal ($)" id="7"/>
    <tableColumn name="Observaciones / Fuente" id="8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A36:D40" displayName="Tarea_y_Servicios" name="Tarea_y_Servicios" id="2">
  <tableColumns count="4">
    <tableColumn name="I. Diseño y Planificación" id="1"/>
    <tableColumn name="Plano de cables/Cálculo de cables" id="2"/>
    <tableColumn name="Definir la longitud exacta del cable UTP Cat6 que se necesita para reemplazar el costo global de $180.000." id="3"/>
    <tableColumn name="PENDIENTE CRÍTICO" id="4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63"/>
    <col customWidth="1" min="2" max="2" width="31.25"/>
    <col customWidth="1" min="3" max="3" width="83.13"/>
    <col customWidth="1" min="4" max="4" width="18.75"/>
    <col customWidth="1" min="5" max="5" width="22.13"/>
    <col customWidth="1" min="6" max="6" width="23.25"/>
    <col customWidth="1" min="7" max="7" width="17.38"/>
    <col customWidth="1" min="8" max="8" width="5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</row>
    <row r="2">
      <c r="A2" s="3" t="s">
        <v>8</v>
      </c>
      <c r="B2" s="3"/>
      <c r="C2" s="3"/>
      <c r="D2" s="4"/>
      <c r="E2" s="5"/>
      <c r="F2" s="5"/>
      <c r="G2" s="5"/>
      <c r="H2" s="3"/>
      <c r="I2" s="2"/>
      <c r="J2" s="2"/>
      <c r="K2" s="2"/>
      <c r="L2" s="2"/>
    </row>
    <row r="3">
      <c r="A3" s="3" t="s">
        <v>9</v>
      </c>
      <c r="B3" s="3" t="s">
        <v>10</v>
      </c>
      <c r="C3" s="3" t="s">
        <v>11</v>
      </c>
      <c r="D3" s="4" t="s">
        <v>3</v>
      </c>
      <c r="E3" s="5">
        <v>45000.0</v>
      </c>
      <c r="F3" s="5">
        <v>1.0</v>
      </c>
      <c r="G3" s="5">
        <v>45000.0</v>
      </c>
      <c r="H3" s="3" t="s">
        <v>12</v>
      </c>
      <c r="I3" s="2"/>
      <c r="J3" s="2"/>
      <c r="K3" s="2"/>
      <c r="L3" s="2"/>
    </row>
    <row r="4">
      <c r="A4" s="3" t="s">
        <v>13</v>
      </c>
      <c r="B4" s="3" t="s">
        <v>10</v>
      </c>
      <c r="C4" s="3" t="s">
        <v>14</v>
      </c>
      <c r="D4" s="4" t="s">
        <v>3</v>
      </c>
      <c r="E4" s="5">
        <v>199000.0</v>
      </c>
      <c r="F4" s="5">
        <v>1.0</v>
      </c>
      <c r="G4" s="5">
        <v>199000.0</v>
      </c>
      <c r="H4" s="3" t="s">
        <v>12</v>
      </c>
      <c r="I4" s="2"/>
      <c r="J4" s="2"/>
      <c r="K4" s="2"/>
      <c r="L4" s="2"/>
    </row>
    <row r="5">
      <c r="A5" s="3" t="s">
        <v>15</v>
      </c>
      <c r="B5" s="3" t="s">
        <v>16</v>
      </c>
      <c r="C5" s="3" t="s">
        <v>17</v>
      </c>
      <c r="D5" s="4" t="s">
        <v>3</v>
      </c>
      <c r="E5" s="5">
        <v>1000000.0</v>
      </c>
      <c r="F5" s="5">
        <v>1.0</v>
      </c>
      <c r="G5" s="5">
        <v>1000000.0</v>
      </c>
      <c r="H5" s="3" t="s">
        <v>18</v>
      </c>
      <c r="I5" s="2"/>
      <c r="J5" s="2"/>
      <c r="K5" s="2"/>
      <c r="L5" s="2"/>
    </row>
    <row r="6">
      <c r="A6" s="3" t="s">
        <v>19</v>
      </c>
      <c r="B6" s="3" t="s">
        <v>20</v>
      </c>
      <c r="C6" s="3" t="s">
        <v>21</v>
      </c>
      <c r="D6" s="4" t="s">
        <v>3</v>
      </c>
      <c r="E6" s="5">
        <v>306435.0</v>
      </c>
      <c r="F6" s="5">
        <v>1.0</v>
      </c>
      <c r="G6" s="5">
        <v>306435.0</v>
      </c>
      <c r="H6" s="3" t="s">
        <v>22</v>
      </c>
      <c r="I6" s="2"/>
      <c r="J6" s="2"/>
      <c r="K6" s="2"/>
      <c r="L6" s="2"/>
    </row>
    <row r="7">
      <c r="A7" s="3" t="s">
        <v>23</v>
      </c>
      <c r="B7" s="3"/>
      <c r="C7" s="3"/>
      <c r="D7" s="4"/>
      <c r="E7" s="5"/>
      <c r="F7" s="5"/>
      <c r="G7" s="5"/>
      <c r="H7" s="3"/>
      <c r="I7" s="2"/>
      <c r="J7" s="2"/>
      <c r="K7" s="2"/>
      <c r="L7" s="2"/>
    </row>
    <row r="8">
      <c r="A8" s="3" t="s">
        <v>24</v>
      </c>
      <c r="B8" s="3" t="s">
        <v>25</v>
      </c>
      <c r="C8" s="3" t="s">
        <v>26</v>
      </c>
      <c r="D8" s="4" t="s">
        <v>3</v>
      </c>
      <c r="E8" s="5">
        <v>139999.0</v>
      </c>
      <c r="F8" s="5">
        <v>1.0</v>
      </c>
      <c r="G8" s="5">
        <v>139999.0</v>
      </c>
      <c r="H8" s="3" t="s">
        <v>27</v>
      </c>
      <c r="I8" s="2"/>
      <c r="J8" s="2"/>
      <c r="K8" s="2"/>
      <c r="L8" s="2"/>
    </row>
    <row r="9">
      <c r="A9" s="3" t="s">
        <v>28</v>
      </c>
      <c r="B9" s="3" t="s">
        <v>29</v>
      </c>
      <c r="C9" s="3" t="s">
        <v>30</v>
      </c>
      <c r="D9" s="4" t="s">
        <v>3</v>
      </c>
      <c r="E9" s="5">
        <v>99988.0</v>
      </c>
      <c r="F9" s="5">
        <v>31.0</v>
      </c>
      <c r="G9" s="5">
        <v>3099628.0</v>
      </c>
      <c r="H9" s="3" t="s">
        <v>31</v>
      </c>
      <c r="I9" s="2"/>
      <c r="J9" s="2"/>
      <c r="K9" s="2"/>
      <c r="L9" s="2"/>
    </row>
    <row r="10">
      <c r="A10" s="3" t="s">
        <v>32</v>
      </c>
      <c r="B10" s="3" t="s">
        <v>33</v>
      </c>
      <c r="C10" s="3" t="s">
        <v>34</v>
      </c>
      <c r="D10" s="4" t="s">
        <v>3</v>
      </c>
      <c r="E10" s="5">
        <v>47990.0</v>
      </c>
      <c r="F10" s="5">
        <v>1.0</v>
      </c>
      <c r="G10" s="5">
        <v>47990.0</v>
      </c>
      <c r="H10" s="3" t="s">
        <v>27</v>
      </c>
      <c r="I10" s="2"/>
      <c r="J10" s="2"/>
      <c r="K10" s="2"/>
      <c r="L10" s="2"/>
    </row>
    <row r="11">
      <c r="A11" s="3" t="s">
        <v>35</v>
      </c>
      <c r="B11" s="3"/>
      <c r="C11" s="3"/>
      <c r="D11" s="4"/>
      <c r="E11" s="5"/>
      <c r="F11" s="5"/>
      <c r="G11" s="5"/>
      <c r="H11" s="3"/>
      <c r="I11" s="2"/>
      <c r="J11" s="2"/>
      <c r="K11" s="2"/>
      <c r="L11" s="2"/>
    </row>
    <row r="12">
      <c r="A12" s="3" t="s">
        <v>36</v>
      </c>
      <c r="B12" s="3" t="s">
        <v>37</v>
      </c>
      <c r="C12" s="3" t="s">
        <v>38</v>
      </c>
      <c r="D12" s="4" t="s">
        <v>3</v>
      </c>
      <c r="E12" s="5">
        <v>115.0</v>
      </c>
      <c r="F12" s="5">
        <v>996.0</v>
      </c>
      <c r="G12" s="5">
        <v>114540.0</v>
      </c>
      <c r="H12" s="3" t="s">
        <v>39</v>
      </c>
      <c r="I12" s="2"/>
      <c r="J12" s="2"/>
      <c r="K12" s="2"/>
      <c r="L12" s="2"/>
    </row>
    <row r="13">
      <c r="A13" s="3" t="s">
        <v>40</v>
      </c>
      <c r="B13" s="3"/>
      <c r="C13" s="3"/>
      <c r="D13" s="4"/>
      <c r="E13" s="5"/>
      <c r="F13" s="5"/>
      <c r="G13" s="5"/>
      <c r="H13" s="3"/>
      <c r="I13" s="2"/>
      <c r="J13" s="2"/>
      <c r="K13" s="2"/>
      <c r="L13" s="2"/>
    </row>
    <row r="14">
      <c r="A14" s="3" t="s">
        <v>41</v>
      </c>
      <c r="B14" s="3" t="s">
        <v>42</v>
      </c>
      <c r="C14" s="3" t="s">
        <v>43</v>
      </c>
      <c r="D14" s="4" t="s">
        <v>3</v>
      </c>
      <c r="E14" s="5">
        <v>92902.0</v>
      </c>
      <c r="F14" s="5">
        <v>63.0</v>
      </c>
      <c r="G14" s="5">
        <v>5852826.0</v>
      </c>
      <c r="H14" s="3" t="s">
        <v>44</v>
      </c>
      <c r="I14" s="2"/>
      <c r="J14" s="2"/>
      <c r="K14" s="2"/>
      <c r="L14" s="2"/>
    </row>
    <row r="15">
      <c r="A15" s="3" t="s">
        <v>45</v>
      </c>
      <c r="B15" s="3"/>
      <c r="C15" s="3"/>
      <c r="D15" s="4"/>
      <c r="E15" s="5"/>
      <c r="F15" s="5"/>
      <c r="G15" s="5"/>
      <c r="H15" s="3"/>
      <c r="I15" s="2"/>
      <c r="J15" s="2"/>
      <c r="K15" s="2"/>
      <c r="L15" s="2"/>
    </row>
    <row r="16">
      <c r="A16" s="3" t="s">
        <v>46</v>
      </c>
      <c r="B16" s="3" t="s">
        <v>47</v>
      </c>
      <c r="C16" s="3" t="s">
        <v>48</v>
      </c>
      <c r="D16" s="4" t="s">
        <v>3</v>
      </c>
      <c r="E16" s="5">
        <v>696470.0</v>
      </c>
      <c r="F16" s="5">
        <v>209.0</v>
      </c>
      <c r="G16" s="5">
        <v>1.4545123E8</v>
      </c>
      <c r="H16" s="3" t="s">
        <v>49</v>
      </c>
      <c r="I16" s="2"/>
      <c r="J16" s="2"/>
      <c r="K16" s="2"/>
      <c r="L16" s="2"/>
    </row>
    <row r="17">
      <c r="A17" s="3" t="s">
        <v>50</v>
      </c>
      <c r="B17" s="3" t="s">
        <v>51</v>
      </c>
      <c r="C17" s="3" t="s">
        <v>52</v>
      </c>
      <c r="D17" s="4" t="s">
        <v>3</v>
      </c>
      <c r="E17" s="5">
        <v>1337499.0</v>
      </c>
      <c r="F17" s="5">
        <v>3.0</v>
      </c>
      <c r="G17" s="5">
        <v>4012497.0</v>
      </c>
      <c r="H17" s="3" t="s">
        <v>53</v>
      </c>
      <c r="I17" s="2"/>
      <c r="J17" s="2"/>
      <c r="K17" s="2"/>
      <c r="L17" s="2"/>
    </row>
    <row r="18">
      <c r="A18" s="3" t="s">
        <v>54</v>
      </c>
      <c r="B18" s="3" t="s">
        <v>55</v>
      </c>
      <c r="C18" s="3" t="s">
        <v>56</v>
      </c>
      <c r="D18" s="4" t="s">
        <v>3</v>
      </c>
      <c r="E18" s="5">
        <v>118669.0</v>
      </c>
      <c r="F18" s="5">
        <v>21.0</v>
      </c>
      <c r="G18" s="5">
        <v>2492049.0</v>
      </c>
      <c r="H18" s="3" t="s">
        <v>57</v>
      </c>
      <c r="I18" s="2"/>
      <c r="J18" s="2"/>
      <c r="K18" s="2"/>
      <c r="L18" s="2"/>
    </row>
    <row r="19">
      <c r="A19" s="3" t="s">
        <v>58</v>
      </c>
      <c r="B19" s="3"/>
      <c r="C19" s="3"/>
      <c r="D19" s="4"/>
      <c r="E19" s="5"/>
      <c r="F19" s="5"/>
      <c r="G19" s="5"/>
      <c r="H19" s="3"/>
      <c r="I19" s="2"/>
      <c r="J19" s="2"/>
      <c r="K19" s="2"/>
      <c r="L19" s="2"/>
    </row>
    <row r="20">
      <c r="A20" s="3" t="s">
        <v>59</v>
      </c>
      <c r="B20" s="3" t="s">
        <v>60</v>
      </c>
      <c r="C20" s="3" t="s">
        <v>61</v>
      </c>
      <c r="D20" s="4" t="s">
        <v>3</v>
      </c>
      <c r="E20" s="5">
        <v>532709.0</v>
      </c>
      <c r="F20" s="5">
        <v>1.0</v>
      </c>
      <c r="G20" s="5">
        <v>532709.0</v>
      </c>
      <c r="H20" s="3" t="s">
        <v>27</v>
      </c>
      <c r="I20" s="2"/>
      <c r="J20" s="2"/>
      <c r="K20" s="2"/>
      <c r="L20" s="2"/>
    </row>
    <row r="21">
      <c r="A21" s="3" t="s">
        <v>62</v>
      </c>
      <c r="B21" s="3" t="s">
        <v>63</v>
      </c>
      <c r="C21" s="3" t="s">
        <v>64</v>
      </c>
      <c r="D21" s="4" t="s">
        <v>3</v>
      </c>
      <c r="E21" s="5">
        <v>600000.0</v>
      </c>
      <c r="F21" s="5">
        <v>1.0</v>
      </c>
      <c r="G21" s="5">
        <v>600000.0</v>
      </c>
      <c r="H21" s="3" t="s">
        <v>27</v>
      </c>
      <c r="I21" s="2"/>
      <c r="J21" s="2"/>
      <c r="K21" s="2"/>
      <c r="L21" s="2"/>
    </row>
    <row r="22">
      <c r="A22" s="3" t="s">
        <v>65</v>
      </c>
      <c r="B22" s="3" t="s">
        <v>66</v>
      </c>
      <c r="C22" s="3" t="s">
        <v>67</v>
      </c>
      <c r="D22" s="4" t="s">
        <v>3</v>
      </c>
      <c r="E22" s="5">
        <v>130000.0</v>
      </c>
      <c r="F22" s="5">
        <v>1.0</v>
      </c>
      <c r="G22" s="5">
        <v>130000.0</v>
      </c>
      <c r="H22" s="3" t="s">
        <v>27</v>
      </c>
      <c r="I22" s="2"/>
      <c r="J22" s="2"/>
      <c r="K22" s="2"/>
      <c r="L22" s="2"/>
    </row>
    <row r="23">
      <c r="A23" s="3" t="s">
        <v>68</v>
      </c>
      <c r="B23" s="3"/>
      <c r="C23" s="3"/>
      <c r="D23" s="4"/>
      <c r="E23" s="5"/>
      <c r="F23" s="5"/>
      <c r="G23" s="5"/>
      <c r="H23" s="3"/>
      <c r="I23" s="2"/>
      <c r="J23" s="2"/>
      <c r="K23" s="2"/>
      <c r="L23" s="2"/>
    </row>
    <row r="24">
      <c r="A24" s="3" t="s">
        <v>69</v>
      </c>
      <c r="B24" s="3" t="s">
        <v>70</v>
      </c>
      <c r="C24" s="3" t="s">
        <v>71</v>
      </c>
      <c r="D24" s="4" t="s">
        <v>72</v>
      </c>
      <c r="E24" s="5">
        <v>180000.0</v>
      </c>
      <c r="F24" s="5">
        <v>1.0</v>
      </c>
      <c r="G24" s="5">
        <v>180000.0</v>
      </c>
      <c r="H24" s="3" t="s">
        <v>73</v>
      </c>
      <c r="I24" s="2"/>
      <c r="J24" s="2"/>
      <c r="K24" s="2"/>
      <c r="L24" s="2"/>
    </row>
    <row r="25">
      <c r="A25" s="3" t="s">
        <v>74</v>
      </c>
      <c r="B25" s="3" t="s">
        <v>75</v>
      </c>
      <c r="C25" s="3" t="s">
        <v>72</v>
      </c>
      <c r="D25" s="4" t="s">
        <v>72</v>
      </c>
      <c r="E25" s="5">
        <v>40000.0</v>
      </c>
      <c r="F25" s="5">
        <v>1.0</v>
      </c>
      <c r="G25" s="5">
        <v>40000.0</v>
      </c>
      <c r="H25" s="3" t="s">
        <v>76</v>
      </c>
      <c r="I25" s="2"/>
      <c r="J25" s="2"/>
      <c r="K25" s="2"/>
      <c r="L25" s="2"/>
    </row>
    <row r="26">
      <c r="A26" s="3" t="s">
        <v>77</v>
      </c>
      <c r="B26" s="3" t="s">
        <v>78</v>
      </c>
      <c r="C26" s="3" t="s">
        <v>72</v>
      </c>
      <c r="D26" s="4" t="s">
        <v>72</v>
      </c>
      <c r="E26" s="5">
        <v>12795.0</v>
      </c>
      <c r="F26" s="5">
        <v>1.0</v>
      </c>
      <c r="G26" s="5">
        <v>12795.0</v>
      </c>
      <c r="H26" s="3" t="s">
        <v>76</v>
      </c>
      <c r="I26" s="2"/>
      <c r="J26" s="2"/>
      <c r="K26" s="2"/>
      <c r="L26" s="2"/>
    </row>
    <row r="27">
      <c r="A27" s="3" t="s">
        <v>79</v>
      </c>
      <c r="B27" s="3" t="s">
        <v>80</v>
      </c>
      <c r="C27" s="3" t="s">
        <v>72</v>
      </c>
      <c r="D27" s="4" t="s">
        <v>72</v>
      </c>
      <c r="E27" s="5">
        <v>48819.0</v>
      </c>
      <c r="F27" s="5">
        <v>1.0</v>
      </c>
      <c r="G27" s="5">
        <v>48819.0</v>
      </c>
      <c r="H27" s="3" t="s">
        <v>76</v>
      </c>
      <c r="I27" s="2"/>
      <c r="J27" s="2"/>
      <c r="K27" s="2"/>
      <c r="L27" s="2"/>
    </row>
    <row r="28">
      <c r="A28" s="3" t="s">
        <v>81</v>
      </c>
      <c r="B28" s="3"/>
      <c r="C28" s="3"/>
      <c r="D28" s="4"/>
      <c r="E28" s="5"/>
      <c r="F28" s="5"/>
      <c r="G28" s="5"/>
      <c r="H28" s="3"/>
      <c r="I28" s="2"/>
      <c r="J28" s="2"/>
      <c r="K28" s="2"/>
      <c r="L28" s="2"/>
    </row>
    <row r="29">
      <c r="A29" s="3" t="s">
        <v>82</v>
      </c>
      <c r="B29" s="3" t="s">
        <v>83</v>
      </c>
      <c r="C29" s="3" t="s">
        <v>84</v>
      </c>
      <c r="D29" s="4" t="s">
        <v>3</v>
      </c>
      <c r="E29" s="5">
        <v>100585.73</v>
      </c>
      <c r="F29" s="5">
        <v>1.0</v>
      </c>
      <c r="G29" s="5">
        <v>100585.73</v>
      </c>
      <c r="H29" s="3" t="s">
        <v>85</v>
      </c>
      <c r="I29" s="2"/>
      <c r="J29" s="2"/>
      <c r="K29" s="2"/>
      <c r="L29" s="2"/>
    </row>
    <row r="30">
      <c r="A30" s="3" t="s">
        <v>86</v>
      </c>
      <c r="B30" s="3"/>
      <c r="C30" s="3"/>
      <c r="D30" s="4"/>
      <c r="E30" s="5"/>
      <c r="F30" s="5"/>
      <c r="G30" s="5"/>
      <c r="H30" s="3"/>
      <c r="I30" s="2"/>
      <c r="J30" s="2"/>
      <c r="K30" s="2"/>
      <c r="L30" s="2"/>
    </row>
    <row r="31">
      <c r="A31" s="3" t="s">
        <v>87</v>
      </c>
      <c r="B31" s="3"/>
      <c r="C31" s="3"/>
      <c r="D31" s="4"/>
      <c r="E31" s="5"/>
      <c r="F31" s="5"/>
      <c r="G31" s="5" t="s">
        <v>88</v>
      </c>
      <c r="H31" s="3" t="s">
        <v>89</v>
      </c>
      <c r="I31" s="2"/>
      <c r="J31" s="2"/>
      <c r="K31" s="2"/>
      <c r="L31" s="2"/>
    </row>
    <row r="36">
      <c r="A36" s="1" t="s">
        <v>90</v>
      </c>
      <c r="B36" s="1" t="s">
        <v>91</v>
      </c>
      <c r="C36" s="1" t="s">
        <v>92</v>
      </c>
      <c r="D36" s="1" t="s">
        <v>93</v>
      </c>
      <c r="E36" s="2"/>
    </row>
    <row r="37">
      <c r="A37" s="3"/>
      <c r="B37" s="3" t="s">
        <v>94</v>
      </c>
      <c r="C37" s="3" t="s">
        <v>95</v>
      </c>
      <c r="D37" s="3" t="s">
        <v>96</v>
      </c>
      <c r="E37" s="2"/>
    </row>
    <row r="38">
      <c r="A38" s="3" t="s">
        <v>97</v>
      </c>
      <c r="B38" s="3" t="s">
        <v>98</v>
      </c>
      <c r="C38" s="3" t="s">
        <v>99</v>
      </c>
      <c r="D38" s="3" t="s">
        <v>100</v>
      </c>
      <c r="E38" s="2"/>
    </row>
    <row r="39">
      <c r="A39" s="3"/>
      <c r="B39" s="3" t="s">
        <v>101</v>
      </c>
      <c r="C39" s="3" t="s">
        <v>102</v>
      </c>
      <c r="D39" s="3" t="s">
        <v>96</v>
      </c>
      <c r="E39" s="2"/>
    </row>
    <row r="40">
      <c r="A40" s="3"/>
      <c r="B40" s="3" t="s">
        <v>103</v>
      </c>
      <c r="C40" s="3" t="s">
        <v>104</v>
      </c>
      <c r="D40" s="3" t="s">
        <v>96</v>
      </c>
      <c r="E40" s="2"/>
    </row>
  </sheetData>
  <dataValidations>
    <dataValidation type="list" allowBlank="1" showDropDown="1" showErrorMessage="1" sqref="D2:D31">
      <formula1>"Unidad,Global"</formula1>
    </dataValidation>
    <dataValidation type="custom" allowBlank="1" showDropDown="1" sqref="E2:G31">
      <formula1>AND(ISNUMBER(E2),(NOT(OR(NOT(ISERROR(DATEVALUE(E2))), AND(ISNUMBER(E2), LEFT(CELL("format", E2))="D")))))</formula1>
    </dataValidation>
  </dataValidations>
  <drawing r:id="rId1"/>
  <tableParts count="2">
    <tablePart r:id="rId4"/>
    <tablePart r:id="rId5"/>
  </tableParts>
</worksheet>
</file>